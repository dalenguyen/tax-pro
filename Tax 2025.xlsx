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tal" sheetId="1" r:id="rId5"/>
    <sheet state="visible" name="Income - Internet" sheetId="2" r:id="rId6"/>
    <sheet state="visible" name="Expense - Email" sheetId="3" r:id="rId7"/>
    <sheet state="visible" name="RRSP - TFSA" sheetId="4" r:id="rId8"/>
    <sheet state="visible" name="Income - Stripe" sheetId="5" r:id="rId9"/>
    <sheet state="visible" name="Expense - GCP" sheetId="6" r:id="rId10"/>
    <sheet state="visible" name="Expense - Namecheap" sheetId="7" r:id="rId11"/>
    <sheet state="visible" name="Expense - Phone" sheetId="8" r:id="rId12"/>
    <sheet state="visible" name="Expense - Internet" sheetId="9" r:id="rId13"/>
    <sheet state="visible" name="Expense - Ads" sheetId="10" r:id="rId14"/>
  </sheets>
  <definedNames/>
  <calcPr/>
</workbook>
</file>

<file path=xl/sharedStrings.xml><?xml version="1.0" encoding="utf-8"?>
<sst xmlns="http://schemas.openxmlformats.org/spreadsheetml/2006/main" count="136" uniqueCount="81">
  <si>
    <t>261 Parkway Ave, Keswick</t>
  </si>
  <si>
    <t>Monthly Rent</t>
  </si>
  <si>
    <t>Total</t>
  </si>
  <si>
    <t>Water Expense</t>
  </si>
  <si>
    <t>Propterty Tax</t>
  </si>
  <si>
    <t>Insurance</t>
  </si>
  <si>
    <t>Morgate (26 weeks)</t>
  </si>
  <si>
    <t>Lawyer (Jablegal)</t>
  </si>
  <si>
    <t>ZipCar</t>
  </si>
  <si>
    <t>Shopping</t>
  </si>
  <si>
    <t>Hydro</t>
  </si>
  <si>
    <t>Renovation</t>
  </si>
  <si>
    <t>Material</t>
  </si>
  <si>
    <t>Date</t>
  </si>
  <si>
    <t>Transaction Description</t>
  </si>
  <si>
    <t>Withdrawals  View Details</t>
  </si>
  <si>
    <t>Deposits  View Details</t>
  </si>
  <si>
    <t>MailChimp</t>
  </si>
  <si>
    <t>CAD</t>
  </si>
  <si>
    <t>TFSA - 7,849.58$</t>
  </si>
  <si>
    <t>RRSP - 31,560$</t>
  </si>
  <si>
    <t>2000 USD</t>
  </si>
  <si>
    <t>TFSA</t>
  </si>
  <si>
    <t>RRSP</t>
  </si>
  <si>
    <t>ROOM</t>
  </si>
  <si>
    <t>XOAI</t>
  </si>
  <si>
    <t>category</t>
  </si>
  <si>
    <t>description</t>
  </si>
  <si>
    <t>net_amount</t>
  </si>
  <si>
    <t>currency</t>
  </si>
  <si>
    <t>rate</t>
  </si>
  <si>
    <t>GCP</t>
  </si>
  <si>
    <t>Transaction Type</t>
  </si>
  <si>
    <t>Description</t>
  </si>
  <si>
    <t>Amount (CAD)</t>
  </si>
  <si>
    <t>Payments</t>
  </si>
  <si>
    <t>1 Payment</t>
  </si>
  <si>
    <t>Jan 1 – Dec 31, 2023</t>
  </si>
  <si>
    <t>dale@dalenguyen.me</t>
  </si>
  <si>
    <t>dungnq@itbox4vn.com</t>
  </si>
  <si>
    <t>Amount (USD)</t>
  </si>
  <si>
    <t>ID</t>
  </si>
  <si>
    <t>Status</t>
  </si>
  <si>
    <t>Type</t>
  </si>
  <si>
    <t>Payment method</t>
  </si>
  <si>
    <t>Date ↑</t>
  </si>
  <si>
    <t>Amount</t>
  </si>
  <si>
    <t>Success</t>
  </si>
  <si>
    <t>Order</t>
  </si>
  <si>
    <t>PayPal</t>
  </si>
  <si>
    <r>
      <rPr>
        <rFont val="&quot;Museo Sans&quot;, Arial, Helvetica, sans-serif"/>
        <b/>
        <color rgb="FF1155CC"/>
        <u/>
      </rPr>
      <t>Details</t>
    </r>
  </si>
  <si>
    <t>Secure Card Payment</t>
  </si>
  <si>
    <r>
      <rPr>
        <rFont val="&quot;Museo Sans&quot;, Arial, Helvetica, sans-serif"/>
        <b/>
        <color rgb="FF1155CC"/>
        <u/>
      </rPr>
      <t>Details</t>
    </r>
  </si>
  <si>
    <r>
      <rPr>
        <rFont val="&quot;Museo Sans&quot;, Arial, Helvetica, sans-serif"/>
        <b/>
        <color rgb="FF1155CC"/>
        <u/>
      </rPr>
      <t>Details</t>
    </r>
  </si>
  <si>
    <r>
      <rPr>
        <rFont val="&quot;Museo Sans&quot;, Arial, Helvetica, sans-serif"/>
        <b/>
        <color rgb="FF1155CC"/>
        <u/>
      </rPr>
      <t>Details</t>
    </r>
  </si>
  <si>
    <r>
      <rPr>
        <rFont val="&quot;Museo Sans&quot;, Arial, Helvetica, sans-serif"/>
        <b/>
        <color rgb="FF1155CC"/>
        <u/>
      </rPr>
      <t>Details</t>
    </r>
  </si>
  <si>
    <r>
      <rPr>
        <rFont val="&quot;Museo Sans&quot;, Arial, Helvetica, sans-serif"/>
        <b/>
        <color rgb="FF1155CC"/>
        <u/>
      </rPr>
      <t>Details</t>
    </r>
  </si>
  <si>
    <r>
      <rPr>
        <rFont val="&quot;Museo Sans&quot;, Arial, Helvetica, sans-serif"/>
        <b/>
        <color rgb="FF1155CC"/>
        <u/>
      </rPr>
      <t>Details</t>
    </r>
  </si>
  <si>
    <r>
      <rPr>
        <rFont val="&quot;Museo Sans&quot;, Arial, Helvetica, sans-serif"/>
        <b/>
        <color rgb="FF1155CC"/>
        <u/>
      </rPr>
      <t>Details</t>
    </r>
  </si>
  <si>
    <r>
      <rPr>
        <rFont val="&quot;Museo Sans&quot;, Arial, Helvetica, sans-serif"/>
        <b/>
        <color rgb="FF1155CC"/>
        <u/>
      </rPr>
      <t>Details</t>
    </r>
  </si>
  <si>
    <r>
      <rPr>
        <rFont val="&quot;Museo Sans&quot;, Arial, Helvetica, sans-serif"/>
        <b/>
        <color rgb="FF1155CC"/>
        <u/>
      </rPr>
      <t>Details</t>
    </r>
  </si>
  <si>
    <t>HOSTGATOR</t>
  </si>
  <si>
    <t>Order number: 1721368616
Date: 1st May 2024</t>
  </si>
  <si>
    <t>Billing information: Dung Nguyen</t>
  </si>
  <si>
    <t>Payment details:</t>
  </si>
  <si>
    <t>Description 
 Term 
 Expires 
 Price Renewal of: Baby Plan
TECHCATER.COM 3 year(s) 05/08/2027 $539.64 Subtotal: $539.64 Tax: $0.00 Total: $539.64</t>
  </si>
  <si>
    <t>January</t>
  </si>
  <si>
    <t>Feburary</t>
  </si>
  <si>
    <t>March</t>
  </si>
  <si>
    <t>Apri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</si>
  <si>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</si>
  <si>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</si>
  <si>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</si>
  <si>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</si>
  <si>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</si>
  <si>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</si>
  <si>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</si>
  <si>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</si>
  <si>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Facebook Ads</t>
  </si>
  <si>
    <t>CA$34.24</t>
  </si>
  <si>
    <t>Redit 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</si>
</sst>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 d, yyyy"/>
    <numFmt numFmtId="165" formatCode="&quot;$&quot;#,##0.00"/>
    <numFmt numFmtId="166" formatCode="mm/dd/yyyy"/>
    <numFmt numFmtId="167" formatCode="mmm d, yyyy"/>
    <numFmt numFmtId="168" formatCode="m/d/yyyy"/>
    <numFmt numFmtId="169" formatCode="mmm dd, yyyy"/>
    <numFmt numFmtId="170" formatCode="mmmm, d yyyy"/>
    <numFmt numFmtId="171" formatCode="mmmm, d, yyyy"/>
  </numFmts>
  <fonts count="3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202124"/>
      <name val="&quot;Google Sans&quot;"/>
    </font>
    <font>
      <b/>
      <sz val="11.0"/>
      <color rgb="FF222222"/>
      <name val="Verdana"/>
    </font>
    <font>
      <b/>
      <sz val="12.0"/>
      <color rgb="FF1C1C1C"/>
      <name val="&quot;Webly Sleek SemiBold&quot;"/>
    </font>
    <font>
      <color rgb="FF000000"/>
      <name val="Arial"/>
      <scheme val="minor"/>
    </font>
    <font>
      <u/>
      <sz val="8.0"/>
      <color rgb="FF1A5336"/>
      <name val="Verdana"/>
    </font>
    <font>
      <u/>
      <sz val="8.0"/>
      <color rgb="FF1A5336"/>
      <name val="Verdana"/>
    </font>
    <font>
      <b/>
      <u/>
      <sz val="8.0"/>
      <color rgb="FF1A5336"/>
      <name val="Verdana"/>
    </font>
    <font>
      <sz val="8.0"/>
      <color rgb="FF1A5336"/>
      <name val="Verdana"/>
    </font>
    <font>
      <b/>
      <sz val="8.0"/>
      <color rgb="FF1A5336"/>
      <name val="Verdana"/>
    </font>
    <font>
      <sz val="8.0"/>
      <color rgb="FF1C1C1C"/>
      <name val="Verdana"/>
    </font>
    <font>
      <color rgb="FF1C1C1C"/>
      <name val="Verdana"/>
    </font>
    <font>
      <b/>
      <color rgb="FFFF0000"/>
      <name val="Arial"/>
      <scheme val="minor"/>
    </font>
    <font>
      <color rgb="FFFF0000"/>
      <name val="Arial"/>
      <scheme val="minor"/>
    </font>
    <font>
      <b/>
      <sz val="8.0"/>
      <color rgb="FF000000"/>
      <name val="&quot;Helvetica Neue&quot;"/>
    </font>
    <font>
      <b/>
      <color theme="7"/>
      <name val="Arial"/>
      <scheme val="minor"/>
    </font>
    <font>
      <sz val="9.0"/>
      <color rgb="FF000000"/>
      <name val="&quot;Google Sans&quot;"/>
    </font>
    <font>
      <color rgb="FF000000"/>
      <name val="Roboto"/>
    </font>
    <font>
      <b/>
      <color theme="5"/>
      <name val="Arial"/>
      <scheme val="minor"/>
    </font>
    <font>
      <b/>
      <sz val="9.0"/>
      <color rgb="FF000000"/>
      <name val="&quot;Google Sans&quot;"/>
    </font>
    <font>
      <b/>
      <color theme="1"/>
      <name val="&quot;Museo Sans&quot;"/>
    </font>
    <font>
      <b/>
      <sz val="12.0"/>
      <color rgb="FF6D6E70"/>
      <name val="&quot;Museo Sans&quot;"/>
    </font>
    <font>
      <color rgb="FF6D6E70"/>
      <name val="&quot;Museo Sans&quot;"/>
    </font>
    <font>
      <color rgb="FFFFFFFF"/>
      <name val="&quot;Museo Sans&quot;"/>
    </font>
    <font>
      <sz val="12.0"/>
      <color rgb="FF6D6E70"/>
      <name val="&quot;Museo Sans&quot;"/>
    </font>
    <font>
      <b/>
      <u/>
      <color rgb="FF0000FF"/>
      <name val="&quot;Museo Sans&quot;"/>
    </font>
    <font>
      <b/>
      <u/>
      <color rgb="FF0000FF"/>
      <name val="&quot;Museo Sans&quot;"/>
    </font>
    <font>
      <b/>
      <sz val="12.0"/>
      <color rgb="FF1D2A3D"/>
      <name val="Proxima-nova"/>
    </font>
    <font>
      <u/>
      <color rgb="FF222222"/>
      <name val="Arial"/>
    </font>
    <font>
      <sz val="12.0"/>
      <color theme="1"/>
      <name val="Inherit"/>
    </font>
    <font>
      <color theme="1"/>
      <name val="Inherit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B0B3B2"/>
        <bgColor rgb="FFB0B3B2"/>
      </patternFill>
    </fill>
    <fill>
      <patternFill patternType="solid">
        <fgColor rgb="FF8CC1C1"/>
        <bgColor rgb="FF8CC1C1"/>
      </patternFill>
    </fill>
  </fills>
  <borders count="11">
    <border/>
    <border>
      <right style="thin">
        <color rgb="FFE8E8E8"/>
      </right>
      <bottom style="thin">
        <color rgb="FFB8D5C8"/>
      </bottom>
    </border>
    <border>
      <bottom style="thin">
        <color rgb="FFB8D5C8"/>
      </bottom>
    </border>
    <border>
      <right style="thin">
        <color rgb="FFE8E8E8"/>
      </right>
      <bottom style="thin">
        <color rgb="FFE8E8E8"/>
      </bottom>
    </border>
    <border>
      <bottom style="thin">
        <color rgb="FFE8E8E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1F3F4"/>
      </top>
    </border>
    <border>
      <top style="medium">
        <color rgb="FF8CC1C1"/>
      </top>
      <bottom style="medium">
        <color rgb="FF8CC1C1"/>
      </bottom>
    </border>
    <border>
      <bottom style="thin">
        <color rgb="FFD6D6D6"/>
      </bottom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D6D6D6"/>
      </bottom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4" xfId="0" applyAlignment="1" applyFont="1" applyNumberFormat="1">
      <alignment readingOrder="0"/>
    </xf>
    <xf borderId="0" fillId="2" fontId="5" numFmtId="3" xfId="0" applyAlignment="1" applyFont="1" applyNumberFormat="1">
      <alignment readingOrder="0"/>
    </xf>
    <xf borderId="0" fillId="0" fontId="6" numFmtId="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165" xfId="0" applyFont="1" applyNumberFormat="1"/>
    <xf borderId="1" fillId="2" fontId="7" numFmtId="0" xfId="0" applyAlignment="1" applyBorder="1" applyFont="1">
      <alignment horizontal="left" readingOrder="0" shrinkToFit="0" vertical="top" wrapText="0"/>
    </xf>
    <xf borderId="1" fillId="2" fontId="8" numFmtId="0" xfId="0" applyAlignment="1" applyBorder="1" applyFont="1">
      <alignment horizontal="right" readingOrder="0" shrinkToFit="0" vertical="top" wrapText="0"/>
    </xf>
    <xf borderId="1" fillId="2" fontId="9" numFmtId="0" xfId="0" applyAlignment="1" applyBorder="1" applyFont="1">
      <alignment horizontal="right" readingOrder="0" shrinkToFit="0" vertical="top" wrapText="0"/>
    </xf>
    <xf borderId="1" fillId="2" fontId="10" numFmtId="0" xfId="0" applyAlignment="1" applyBorder="1" applyFont="1">
      <alignment horizontal="left" readingOrder="0" shrinkToFit="0" vertical="top" wrapText="0"/>
    </xf>
    <xf borderId="1" fillId="2" fontId="10" numFmtId="0" xfId="0" applyAlignment="1" applyBorder="1" applyFont="1">
      <alignment horizontal="right" readingOrder="0" shrinkToFit="0" vertical="top" wrapText="0"/>
    </xf>
    <xf borderId="1" fillId="2" fontId="11" numFmtId="0" xfId="0" applyAlignment="1" applyBorder="1" applyFont="1">
      <alignment horizontal="right" readingOrder="0" shrinkToFit="0" vertical="top" wrapText="0"/>
    </xf>
    <xf borderId="2" fillId="2" fontId="12" numFmtId="0" xfId="0" applyAlignment="1" applyBorder="1" applyFont="1">
      <alignment horizontal="right" readingOrder="0" vertical="top"/>
    </xf>
    <xf borderId="3" fillId="2" fontId="13" numFmtId="166" xfId="0" applyAlignment="1" applyBorder="1" applyFont="1" applyNumberFormat="1">
      <alignment horizontal="left" readingOrder="0" vertical="top"/>
    </xf>
    <xf borderId="3" fillId="2" fontId="13" numFmtId="0" xfId="0" applyAlignment="1" applyBorder="1" applyFont="1">
      <alignment horizontal="left" readingOrder="0" shrinkToFit="0" vertical="top" wrapText="1"/>
    </xf>
    <xf borderId="3" fillId="2" fontId="13" numFmtId="0" xfId="0" applyAlignment="1" applyBorder="1" applyFont="1">
      <alignment horizontal="right" vertical="top"/>
    </xf>
    <xf borderId="3" fillId="2" fontId="13" numFmtId="0" xfId="0" applyAlignment="1" applyBorder="1" applyFont="1">
      <alignment horizontal="right" readingOrder="0" vertical="top"/>
    </xf>
    <xf borderId="3" fillId="2" fontId="13" numFmtId="167" xfId="0" applyAlignment="1" applyBorder="1" applyFont="1" applyNumberFormat="1">
      <alignment horizontal="left" readingOrder="0" vertical="top"/>
    </xf>
    <xf borderId="3" fillId="2" fontId="13" numFmtId="0" xfId="0" applyAlignment="1" applyBorder="1" applyFont="1">
      <alignment horizontal="right" vertical="top"/>
    </xf>
    <xf borderId="4" fillId="2" fontId="13" numFmtId="165" xfId="0" applyAlignment="1" applyBorder="1" applyFont="1" applyNumberFormat="1">
      <alignment horizontal="right" readingOrder="0" vertical="top"/>
    </xf>
    <xf borderId="3" fillId="3" fontId="13" numFmtId="166" xfId="0" applyAlignment="1" applyBorder="1" applyFill="1" applyFont="1" applyNumberFormat="1">
      <alignment horizontal="left" readingOrder="0" vertical="top"/>
    </xf>
    <xf borderId="3" fillId="3" fontId="13" numFmtId="0" xfId="0" applyAlignment="1" applyBorder="1" applyFont="1">
      <alignment horizontal="left" readingOrder="0" shrinkToFit="0" vertical="top" wrapText="1"/>
    </xf>
    <xf borderId="3" fillId="3" fontId="13" numFmtId="0" xfId="0" applyAlignment="1" applyBorder="1" applyFont="1">
      <alignment horizontal="right" vertical="top"/>
    </xf>
    <xf borderId="3" fillId="3" fontId="13" numFmtId="0" xfId="0" applyAlignment="1" applyBorder="1" applyFont="1">
      <alignment horizontal="right" readingOrder="0" vertical="top"/>
    </xf>
    <xf borderId="3" fillId="3" fontId="13" numFmtId="167" xfId="0" applyAlignment="1" applyBorder="1" applyFont="1" applyNumberFormat="1">
      <alignment horizontal="left" readingOrder="0" vertical="top"/>
    </xf>
    <xf borderId="3" fillId="3" fontId="13" numFmtId="0" xfId="0" applyAlignment="1" applyBorder="1" applyFont="1">
      <alignment horizontal="right" vertical="top"/>
    </xf>
    <xf borderId="4" fillId="3" fontId="13" numFmtId="165" xfId="0" applyAlignment="1" applyBorder="1" applyFont="1" applyNumberFormat="1">
      <alignment horizontal="right" readingOrder="0" vertical="top"/>
    </xf>
    <xf borderId="3" fillId="2" fontId="13" numFmtId="4" xfId="0" applyAlignment="1" applyBorder="1" applyFont="1" applyNumberFormat="1">
      <alignment horizontal="right" readingOrder="0" vertical="top"/>
    </xf>
    <xf borderId="3" fillId="3" fontId="13" numFmtId="4" xfId="0" applyAlignment="1" applyBorder="1" applyFont="1" applyNumberFormat="1">
      <alignment horizontal="right" readingOrder="0" vertical="top"/>
    </xf>
    <xf borderId="0" fillId="0" fontId="2" numFmtId="166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2" numFmtId="171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Font="1"/>
    <xf borderId="0" fillId="0" fontId="15" numFmtId="165" xfId="0" applyFont="1" applyNumberFormat="1"/>
    <xf borderId="0" fillId="0" fontId="1" numFmtId="165" xfId="0" applyAlignment="1" applyFont="1" applyNumberFormat="1">
      <alignment readingOrder="0"/>
    </xf>
    <xf borderId="5" fillId="4" fontId="16" numFmtId="0" xfId="0" applyAlignment="1" applyBorder="1" applyFill="1" applyFont="1">
      <alignment readingOrder="0" vertical="top"/>
    </xf>
    <xf borderId="0" fillId="0" fontId="17" numFmtId="0" xfId="0" applyAlignment="1" applyFont="1">
      <alignment readingOrder="0"/>
    </xf>
    <xf borderId="0" fillId="0" fontId="15" numFmtId="0" xfId="0" applyFont="1"/>
    <xf borderId="0" fillId="2" fontId="18" numFmtId="0" xfId="0" applyAlignment="1" applyFont="1">
      <alignment horizontal="left" readingOrder="0"/>
    </xf>
    <xf borderId="0" fillId="2" fontId="18" numFmtId="0" xfId="0" applyAlignment="1" applyFont="1">
      <alignment horizontal="right" readingOrder="0"/>
    </xf>
    <xf borderId="6" fillId="2" fontId="19" numFmtId="0" xfId="0" applyAlignment="1" applyBorder="1" applyFont="1">
      <alignment horizontal="left" readingOrder="0"/>
    </xf>
    <xf borderId="6" fillId="2" fontId="19" numFmtId="0" xfId="0" applyAlignment="1" applyBorder="1" applyFont="1">
      <alignment horizontal="right" readingOrder="0" shrinkToFit="0" wrapText="0"/>
    </xf>
    <xf borderId="0" fillId="0" fontId="20" numFmtId="0" xfId="0" applyAlignment="1" applyFont="1">
      <alignment readingOrder="0"/>
    </xf>
    <xf borderId="0" fillId="2" fontId="21" numFmtId="0" xfId="0" applyAlignment="1" applyFont="1">
      <alignment horizontal="right" readingOrder="0"/>
    </xf>
    <xf borderId="7" fillId="2" fontId="22" numFmtId="0" xfId="0" applyAlignment="1" applyBorder="1" applyFont="1">
      <alignment horizontal="left" readingOrder="0" shrinkToFit="0" vertical="top" wrapText="0"/>
    </xf>
    <xf borderId="7" fillId="2" fontId="22" numFmtId="165" xfId="0" applyAlignment="1" applyBorder="1" applyFont="1" applyNumberFormat="1">
      <alignment horizontal="left" readingOrder="0" shrinkToFit="0" vertical="top" wrapText="0"/>
    </xf>
    <xf borderId="7" fillId="2" fontId="23" numFmtId="0" xfId="0" applyAlignment="1" applyBorder="1" applyFont="1">
      <alignment horizontal="left" shrinkToFit="0" vertical="top" wrapText="0"/>
    </xf>
    <xf borderId="8" fillId="2" fontId="24" numFmtId="0" xfId="0" applyAlignment="1" applyBorder="1" applyFont="1">
      <alignment readingOrder="0" shrinkToFit="0" vertical="top" wrapText="0"/>
    </xf>
    <xf borderId="8" fillId="5" fontId="25" numFmtId="0" xfId="0" applyAlignment="1" applyBorder="1" applyFill="1" applyFont="1">
      <alignment readingOrder="0" shrinkToFit="0" wrapText="0"/>
    </xf>
    <xf borderId="8" fillId="2" fontId="24" numFmtId="0" xfId="0" applyAlignment="1" applyBorder="1" applyFont="1">
      <alignment readingOrder="0" shrinkToFit="0" vertical="top" wrapText="1"/>
    </xf>
    <xf borderId="8" fillId="2" fontId="26" numFmtId="0" xfId="0" applyAlignment="1" applyBorder="1" applyFont="1">
      <alignment readingOrder="0" vertical="top"/>
    </xf>
    <xf borderId="8" fillId="2" fontId="24" numFmtId="167" xfId="0" applyAlignment="1" applyBorder="1" applyFont="1" applyNumberFormat="1">
      <alignment readingOrder="0" shrinkToFit="0" vertical="top" wrapText="1"/>
    </xf>
    <xf borderId="8" fillId="2" fontId="24" numFmtId="165" xfId="0" applyAlignment="1" applyBorder="1" applyFont="1" applyNumberFormat="1">
      <alignment readingOrder="0" shrinkToFit="0" vertical="top" wrapText="1"/>
    </xf>
    <xf borderId="9" fillId="0" fontId="27" numFmtId="0" xfId="0" applyAlignment="1" applyBorder="1" applyFont="1">
      <alignment horizontal="center" readingOrder="0" vertical="top"/>
    </xf>
    <xf borderId="0" fillId="2" fontId="24" numFmtId="0" xfId="0" applyAlignment="1" applyFont="1">
      <alignment readingOrder="0" shrinkToFit="0" vertical="top" wrapText="0"/>
    </xf>
    <xf borderId="0" fillId="5" fontId="25" numFmtId="0" xfId="0" applyAlignment="1" applyFont="1">
      <alignment readingOrder="0" shrinkToFit="0" wrapText="0"/>
    </xf>
    <xf borderId="0" fillId="2" fontId="24" numFmtId="0" xfId="0" applyAlignment="1" applyFont="1">
      <alignment readingOrder="0" shrinkToFit="0" vertical="top" wrapText="1"/>
    </xf>
    <xf borderId="0" fillId="2" fontId="26" numFmtId="0" xfId="0" applyAlignment="1" applyFont="1">
      <alignment readingOrder="0" vertical="top"/>
    </xf>
    <xf borderId="0" fillId="2" fontId="24" numFmtId="167" xfId="0" applyAlignment="1" applyFont="1" applyNumberFormat="1">
      <alignment readingOrder="0" shrinkToFit="0" vertical="top" wrapText="1"/>
    </xf>
    <xf borderId="0" fillId="2" fontId="24" numFmtId="165" xfId="0" applyAlignment="1" applyFont="1" applyNumberFormat="1">
      <alignment readingOrder="0" shrinkToFit="0" vertical="top" wrapText="1"/>
    </xf>
    <xf borderId="10" fillId="0" fontId="28" numFmtId="0" xfId="0" applyAlignment="1" applyBorder="1" applyFont="1">
      <alignment horizontal="center" readingOrder="0" vertical="top"/>
    </xf>
    <xf borderId="0" fillId="2" fontId="26" numFmtId="0" xfId="0" applyFont="1"/>
    <xf borderId="0" fillId="0" fontId="1" numFmtId="165" xfId="0" applyFont="1" applyNumberFormat="1"/>
    <xf borderId="0" fillId="0" fontId="14" numFmtId="165" xfId="0" applyFont="1" applyNumberFormat="1"/>
    <xf borderId="0" fillId="2" fontId="29" numFmtId="0" xfId="0" applyAlignment="1" applyFont="1">
      <alignment horizontal="left" readingOrder="0" vertical="top"/>
    </xf>
    <xf borderId="0" fillId="2" fontId="30" numFmtId="0" xfId="0" applyAlignment="1" applyFont="1">
      <alignment horizontal="center" readingOrder="0"/>
    </xf>
    <xf borderId="0" fillId="2" fontId="31" numFmtId="0" xfId="0" applyFont="1"/>
    <xf borderId="0" fillId="2" fontId="32" numFmtId="0" xfId="0" applyAlignment="1" applyFont="1">
      <alignment readingOrder="0" shrinkToFit="0" wrapText="1"/>
    </xf>
    <xf borderId="0" fillId="2" fontId="32" numFmtId="165" xfId="0" applyAlignment="1" applyFont="1" applyNumberFormat="1">
      <alignment horizontal="right" readingOrder="0" shrinkToFit="0" wrapText="1"/>
    </xf>
    <xf borderId="0" fillId="2" fontId="32" numFmtId="0" xfId="0" applyAlignment="1" applyFont="1">
      <alignment horizontal="right" readingOrder="0" shrinkToFit="0" wrapText="1"/>
    </xf>
    <xf borderId="0" fillId="0" fontId="20" numFmtId="0" xfId="0" applyFont="1"/>
    <xf borderId="0" fillId="2" fontId="32" numFmtId="0" xfId="0" applyAlignment="1" applyFont="1">
      <alignment horizontal="right" shrinkToFit="0" wrapText="1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asyweb.td.com/waw/ezw/" TargetMode="External"/><Relationship Id="rId2" Type="http://schemas.openxmlformats.org/officeDocument/2006/relationships/hyperlink" Target="https://easyweb.td.com/waw/ezw/" TargetMode="External"/><Relationship Id="rId3" Type="http://schemas.openxmlformats.org/officeDocument/2006/relationships/hyperlink" Target="https://easyweb.td.com/waw/ezw/" TargetMode="External"/><Relationship Id="rId4" Type="http://schemas.openxmlformats.org/officeDocument/2006/relationships/hyperlink" Target="https://easyweb.td.com/waw/ezw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p.www.namecheap.com/profile/billing/transaction/details/143983620/Order" TargetMode="External"/><Relationship Id="rId2" Type="http://schemas.openxmlformats.org/officeDocument/2006/relationships/hyperlink" Target="https://ap.www.namecheap.com/profile/billing/transaction/details/150808957/Order" TargetMode="External"/><Relationship Id="rId3" Type="http://schemas.openxmlformats.org/officeDocument/2006/relationships/hyperlink" Target="https://ap.www.namecheap.com/profile/billing/transaction/details/154865017/Order" TargetMode="External"/><Relationship Id="rId4" Type="http://schemas.openxmlformats.org/officeDocument/2006/relationships/hyperlink" Target="https://ap.www.namecheap.com/profile/billing/transaction/details/155004278/Order" TargetMode="External"/><Relationship Id="rId11" Type="http://schemas.openxmlformats.org/officeDocument/2006/relationships/hyperlink" Target="http://techcater.com/" TargetMode="External"/><Relationship Id="rId10" Type="http://schemas.openxmlformats.org/officeDocument/2006/relationships/hyperlink" Target="https://ap.www.namecheap.com/profile/billing/transaction/details/171729239/Order" TargetMode="External"/><Relationship Id="rId12" Type="http://schemas.openxmlformats.org/officeDocument/2006/relationships/drawing" Target="../drawings/drawing7.xml"/><Relationship Id="rId9" Type="http://schemas.openxmlformats.org/officeDocument/2006/relationships/hyperlink" Target="https://ap.www.namecheap.com/profile/billing/transaction/details/168543431/Order" TargetMode="External"/><Relationship Id="rId5" Type="http://schemas.openxmlformats.org/officeDocument/2006/relationships/hyperlink" Target="https://ap.www.namecheap.com/profile/billing/transaction/details/157127295/Order" TargetMode="External"/><Relationship Id="rId6" Type="http://schemas.openxmlformats.org/officeDocument/2006/relationships/hyperlink" Target="https://ap.www.namecheap.com/profile/billing/transaction/details/159830716/Order" TargetMode="External"/><Relationship Id="rId7" Type="http://schemas.openxmlformats.org/officeDocument/2006/relationships/hyperlink" Target="https://ap.www.namecheap.com/profile/billing/transaction/details/162713702/Order" TargetMode="External"/><Relationship Id="rId8" Type="http://schemas.openxmlformats.org/officeDocument/2006/relationships/hyperlink" Target="https://ap.www.namecheap.com/profile/billing/transaction/details/167149558/Order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</row>
    <row r="3">
      <c r="A3" s="3" t="s">
        <v>2</v>
      </c>
      <c r="B3" s="2"/>
    </row>
    <row r="6">
      <c r="A6" s="3" t="s">
        <v>3</v>
      </c>
      <c r="B6" s="4"/>
    </row>
    <row r="7">
      <c r="A7" s="3" t="s">
        <v>2</v>
      </c>
      <c r="B7" s="2"/>
    </row>
    <row r="12">
      <c r="A12" s="3" t="s">
        <v>4</v>
      </c>
      <c r="B12" s="5"/>
    </row>
    <row r="15">
      <c r="A15" s="3" t="s">
        <v>5</v>
      </c>
      <c r="B15" s="6"/>
    </row>
    <row r="18">
      <c r="A18" s="3" t="s">
        <v>6</v>
      </c>
      <c r="B18" s="7"/>
    </row>
    <row r="21">
      <c r="A21" s="3" t="s">
        <v>7</v>
      </c>
      <c r="B21" s="8">
        <v>1174.75</v>
      </c>
    </row>
    <row r="23">
      <c r="A23" s="3" t="s">
        <v>8</v>
      </c>
      <c r="B23" s="3">
        <v>179.11</v>
      </c>
      <c r="C23" s="9">
        <v>45795.0</v>
      </c>
      <c r="E23" s="3" t="s">
        <v>9</v>
      </c>
    </row>
    <row r="24">
      <c r="A24" s="3" t="s">
        <v>10</v>
      </c>
      <c r="B24" s="3">
        <v>114.93</v>
      </c>
      <c r="C24" s="9">
        <v>45838.0</v>
      </c>
    </row>
    <row r="25">
      <c r="A25" s="3" t="s">
        <v>11</v>
      </c>
      <c r="B25" s="10">
        <f>B24-B22</f>
        <v>114.93</v>
      </c>
      <c r="C25" s="9">
        <v>45838.0</v>
      </c>
      <c r="D25" s="3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30.38"/>
    <col customWidth="1" min="3" max="3" width="18.25"/>
    <col customWidth="1" min="4" max="4" width="17.75"/>
  </cols>
  <sheetData>
    <row r="1">
      <c r="A1" s="11" t="s">
        <v>13</v>
      </c>
      <c r="B1" s="11" t="s">
        <v>14</v>
      </c>
      <c r="C1" s="12" t="s">
        <v>15</v>
      </c>
      <c r="D1" s="13" t="s">
        <v>16</v>
      </c>
      <c r="F1" s="14"/>
      <c r="G1" s="14"/>
      <c r="H1" s="15"/>
      <c r="I1" s="16"/>
      <c r="J1" s="17"/>
    </row>
    <row r="2">
      <c r="A2" s="18"/>
      <c r="B2" s="19"/>
      <c r="C2" s="20"/>
      <c r="D2" s="21"/>
      <c r="F2" s="22"/>
      <c r="G2" s="19"/>
      <c r="H2" s="23"/>
      <c r="I2" s="21"/>
      <c r="J2" s="24"/>
    </row>
    <row r="3">
      <c r="A3" s="25"/>
      <c r="B3" s="26"/>
      <c r="C3" s="27"/>
      <c r="D3" s="28"/>
      <c r="F3" s="29"/>
      <c r="G3" s="26"/>
      <c r="H3" s="30"/>
      <c r="I3" s="28"/>
      <c r="J3" s="31"/>
    </row>
    <row r="4">
      <c r="A4" s="18"/>
      <c r="B4" s="19"/>
      <c r="C4" s="20"/>
      <c r="D4" s="21"/>
      <c r="F4" s="22"/>
      <c r="G4" s="19"/>
      <c r="H4" s="23"/>
      <c r="I4" s="21"/>
      <c r="J4" s="24"/>
    </row>
    <row r="5">
      <c r="A5" s="18"/>
      <c r="B5" s="19"/>
      <c r="C5" s="20"/>
      <c r="D5" s="32"/>
      <c r="F5" s="22"/>
      <c r="G5" s="19"/>
      <c r="H5" s="23"/>
      <c r="I5" s="32"/>
      <c r="J5" s="24"/>
    </row>
    <row r="6">
      <c r="A6" s="25"/>
      <c r="B6" s="26"/>
      <c r="C6" s="27"/>
      <c r="D6" s="33"/>
      <c r="F6" s="29"/>
      <c r="G6" s="26"/>
      <c r="H6" s="30"/>
      <c r="I6" s="33"/>
      <c r="J6" s="31"/>
    </row>
    <row r="7">
      <c r="A7" s="18"/>
      <c r="B7" s="19"/>
      <c r="C7" s="20"/>
      <c r="D7" s="32"/>
      <c r="F7" s="22"/>
      <c r="G7" s="19"/>
      <c r="H7" s="23"/>
      <c r="I7" s="32"/>
      <c r="J7" s="24"/>
    </row>
    <row r="8">
      <c r="A8" s="18"/>
      <c r="B8" s="19"/>
      <c r="C8" s="20"/>
      <c r="D8" s="32"/>
      <c r="F8" s="22"/>
      <c r="G8" s="19"/>
      <c r="H8" s="23"/>
      <c r="I8" s="32"/>
      <c r="J8" s="24"/>
    </row>
    <row r="9">
      <c r="A9" s="18"/>
      <c r="B9" s="19"/>
      <c r="C9" s="20"/>
      <c r="D9" s="32"/>
      <c r="F9" s="22"/>
      <c r="G9" s="19"/>
      <c r="H9" s="23"/>
      <c r="I9" s="32"/>
      <c r="J9" s="24"/>
    </row>
    <row r="10">
      <c r="A10" s="25"/>
      <c r="B10" s="26"/>
      <c r="C10" s="27"/>
      <c r="D10" s="33"/>
      <c r="F10" s="29"/>
      <c r="G10" s="26"/>
      <c r="H10" s="30"/>
      <c r="I10" s="33"/>
      <c r="J10" s="31"/>
    </row>
    <row r="11">
      <c r="A11" s="18"/>
      <c r="B11" s="19"/>
      <c r="C11" s="20"/>
      <c r="D11" s="32"/>
      <c r="F11" s="22"/>
      <c r="G11" s="19"/>
      <c r="H11" s="23"/>
      <c r="I11" s="32"/>
      <c r="J11" s="24"/>
    </row>
    <row r="12">
      <c r="A12" s="25"/>
      <c r="B12" s="26"/>
      <c r="C12" s="27"/>
      <c r="D12" s="33"/>
      <c r="F12" s="29"/>
      <c r="G12" s="26"/>
      <c r="H12" s="30"/>
      <c r="I12" s="33"/>
      <c r="J12" s="31"/>
    </row>
    <row r="13">
      <c r="A13" s="18"/>
      <c r="B13" s="19"/>
      <c r="C13" s="20"/>
      <c r="D13" s="32"/>
      <c r="F13" s="22"/>
      <c r="G13" s="19"/>
      <c r="H13" s="23"/>
      <c r="I13" s="32"/>
      <c r="J13" s="24"/>
    </row>
    <row r="14">
      <c r="A14" s="25"/>
      <c r="B14" s="26"/>
      <c r="C14" s="27"/>
      <c r="D14" s="33"/>
      <c r="F14" s="29"/>
      <c r="G14" s="26"/>
      <c r="H14" s="30"/>
      <c r="I14" s="33"/>
      <c r="J14" s="31"/>
    </row>
    <row r="15">
      <c r="A15" s="18"/>
      <c r="B15" s="19"/>
      <c r="C15" s="20"/>
      <c r="D15" s="32"/>
      <c r="F15" s="22"/>
      <c r="G15" s="19"/>
      <c r="H15" s="23"/>
      <c r="I15" s="32"/>
      <c r="J15" s="24"/>
    </row>
    <row r="16">
      <c r="A16" s="25"/>
      <c r="B16" s="26"/>
      <c r="C16" s="27"/>
      <c r="D16" s="33"/>
      <c r="F16" s="29"/>
      <c r="G16" s="26"/>
      <c r="H16" s="30"/>
      <c r="I16" s="33"/>
      <c r="J16" s="31"/>
    </row>
    <row r="17">
      <c r="A17" s="34"/>
    </row>
    <row r="18">
      <c r="A18" s="34"/>
    </row>
    <row r="19">
      <c r="A19" s="34"/>
    </row>
    <row r="20">
      <c r="A20" s="34"/>
    </row>
    <row r="21">
      <c r="A21" s="34"/>
    </row>
    <row r="22">
      <c r="A22" s="34"/>
    </row>
    <row r="23">
      <c r="A23" s="34"/>
    </row>
    <row r="24">
      <c r="A24" s="34"/>
    </row>
    <row r="25">
      <c r="A25" s="34"/>
    </row>
    <row r="26">
      <c r="A26" s="34"/>
    </row>
    <row r="27">
      <c r="A27" s="34"/>
    </row>
    <row r="28">
      <c r="A28" s="34"/>
    </row>
    <row r="29">
      <c r="A29" s="34"/>
    </row>
    <row r="30">
      <c r="A30" s="34"/>
    </row>
    <row r="31">
      <c r="A31" s="34"/>
    </row>
    <row r="32">
      <c r="A32" s="34"/>
    </row>
    <row r="33">
      <c r="A33" s="34"/>
    </row>
    <row r="34">
      <c r="A34" s="34"/>
    </row>
    <row r="35">
      <c r="A35" s="34"/>
    </row>
    <row r="36">
      <c r="A36" s="34"/>
    </row>
    <row r="37">
      <c r="A37" s="34"/>
    </row>
    <row r="38">
      <c r="A38" s="34"/>
    </row>
    <row r="39">
      <c r="A39" s="34"/>
    </row>
    <row r="40">
      <c r="A40" s="34"/>
    </row>
    <row r="41">
      <c r="A41" s="34"/>
    </row>
    <row r="42">
      <c r="A42" s="34"/>
    </row>
    <row r="43">
      <c r="A43" s="34"/>
    </row>
    <row r="44">
      <c r="A44" s="34"/>
    </row>
    <row r="45">
      <c r="A45" s="34"/>
    </row>
    <row r="46">
      <c r="A46" s="34"/>
    </row>
    <row r="47">
      <c r="A47" s="34"/>
    </row>
    <row r="48">
      <c r="A48" s="34"/>
    </row>
    <row r="49">
      <c r="A49" s="34"/>
    </row>
    <row r="50">
      <c r="A50" s="34"/>
    </row>
    <row r="51">
      <c r="A51" s="34"/>
    </row>
    <row r="52">
      <c r="A52" s="34"/>
    </row>
    <row r="53">
      <c r="A53" s="34"/>
    </row>
    <row r="54">
      <c r="A54" s="34"/>
    </row>
    <row r="55">
      <c r="A55" s="34"/>
    </row>
    <row r="56">
      <c r="A56" s="34"/>
    </row>
    <row r="57">
      <c r="A57" s="34"/>
    </row>
    <row r="58">
      <c r="A58" s="34"/>
    </row>
    <row r="59">
      <c r="A59" s="34"/>
    </row>
    <row r="60">
      <c r="A60" s="34"/>
    </row>
    <row r="61">
      <c r="A61" s="34"/>
    </row>
    <row r="62">
      <c r="A62" s="34"/>
    </row>
    <row r="63">
      <c r="A63" s="34"/>
    </row>
    <row r="64">
      <c r="A64" s="34"/>
    </row>
    <row r="65">
      <c r="A65" s="34"/>
    </row>
    <row r="66">
      <c r="A66" s="34"/>
    </row>
    <row r="67">
      <c r="A67" s="34"/>
    </row>
    <row r="68">
      <c r="A68" s="34"/>
    </row>
    <row r="69">
      <c r="A69" s="34"/>
    </row>
    <row r="70">
      <c r="A70" s="34"/>
    </row>
    <row r="71">
      <c r="A71" s="34"/>
    </row>
    <row r="72">
      <c r="A72" s="34"/>
    </row>
    <row r="73">
      <c r="A73" s="34"/>
    </row>
    <row r="74">
      <c r="A74" s="34"/>
    </row>
    <row r="75">
      <c r="A75" s="34"/>
    </row>
    <row r="76">
      <c r="A76" s="34"/>
    </row>
    <row r="77">
      <c r="A77" s="34"/>
    </row>
    <row r="78">
      <c r="A78" s="34"/>
    </row>
    <row r="79">
      <c r="A79" s="34"/>
    </row>
    <row r="80">
      <c r="A80" s="34"/>
    </row>
    <row r="81">
      <c r="A81" s="34"/>
    </row>
    <row r="82">
      <c r="A82" s="34"/>
    </row>
    <row r="83">
      <c r="A83" s="34"/>
    </row>
    <row r="84">
      <c r="A84" s="34"/>
    </row>
    <row r="85">
      <c r="A85" s="34"/>
    </row>
    <row r="86">
      <c r="A86" s="34"/>
    </row>
    <row r="87">
      <c r="A87" s="34"/>
    </row>
    <row r="88">
      <c r="A88" s="34"/>
    </row>
    <row r="89">
      <c r="A89" s="34"/>
    </row>
    <row r="90">
      <c r="A90" s="34"/>
    </row>
    <row r="91">
      <c r="A91" s="34"/>
    </row>
    <row r="92">
      <c r="A92" s="34"/>
    </row>
    <row r="93">
      <c r="A93" s="34"/>
    </row>
    <row r="94">
      <c r="A94" s="34"/>
    </row>
    <row r="95">
      <c r="A95" s="34"/>
    </row>
    <row r="96">
      <c r="A96" s="34"/>
    </row>
    <row r="97">
      <c r="A97" s="34"/>
    </row>
    <row r="98">
      <c r="A98" s="34"/>
    </row>
    <row r="99">
      <c r="A99" s="34"/>
    </row>
    <row r="100">
      <c r="A100" s="34"/>
    </row>
    <row r="101">
      <c r="A101" s="34"/>
    </row>
    <row r="102">
      <c r="A102" s="34"/>
    </row>
    <row r="103">
      <c r="A103" s="34"/>
    </row>
    <row r="104">
      <c r="A104" s="34"/>
    </row>
    <row r="105">
      <c r="A105" s="34"/>
    </row>
    <row r="106">
      <c r="A106" s="34"/>
    </row>
    <row r="107">
      <c r="A107" s="34"/>
    </row>
    <row r="108">
      <c r="A108" s="34"/>
    </row>
    <row r="109">
      <c r="A109" s="34"/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5"/>
    </row>
    <row r="120">
      <c r="A120" s="35"/>
    </row>
    <row r="121">
      <c r="A121" s="35"/>
    </row>
    <row r="122">
      <c r="A122" s="35"/>
    </row>
    <row r="123">
      <c r="A123" s="35"/>
    </row>
    <row r="124">
      <c r="A124" s="35"/>
    </row>
    <row r="125">
      <c r="A125" s="35"/>
    </row>
    <row r="126">
      <c r="A126" s="35"/>
    </row>
    <row r="127">
      <c r="A127" s="35"/>
    </row>
    <row r="128">
      <c r="A128" s="34"/>
    </row>
    <row r="129">
      <c r="A129" s="34"/>
    </row>
    <row r="130">
      <c r="A130" s="34"/>
    </row>
    <row r="131">
      <c r="A131" s="35"/>
    </row>
    <row r="132">
      <c r="A132" s="35"/>
    </row>
    <row r="133">
      <c r="A133" s="35"/>
    </row>
    <row r="134">
      <c r="A134" s="35"/>
    </row>
    <row r="135">
      <c r="A135" s="35"/>
    </row>
    <row r="136">
      <c r="A136" s="35"/>
    </row>
    <row r="137">
      <c r="A137" s="35"/>
    </row>
    <row r="138">
      <c r="A138" s="35"/>
    </row>
    <row r="139">
      <c r="A139" s="35"/>
    </row>
    <row r="140">
      <c r="A140" s="35"/>
    </row>
    <row r="141">
      <c r="A141" s="35"/>
    </row>
    <row r="142">
      <c r="A142" s="35"/>
    </row>
    <row r="143">
      <c r="A143" s="35"/>
    </row>
    <row r="144">
      <c r="A144" s="35"/>
    </row>
    <row r="145">
      <c r="A145" s="35"/>
    </row>
    <row r="146">
      <c r="A146" s="35"/>
    </row>
    <row r="147">
      <c r="A147" s="35"/>
    </row>
    <row r="148">
      <c r="A148" s="34"/>
    </row>
    <row r="149">
      <c r="A149" s="34"/>
    </row>
    <row r="150">
      <c r="A150" s="34"/>
    </row>
    <row r="151">
      <c r="A151" s="34"/>
    </row>
    <row r="152">
      <c r="A152" s="35"/>
    </row>
    <row r="153">
      <c r="A153" s="35"/>
    </row>
    <row r="154">
      <c r="A154" s="35"/>
    </row>
    <row r="155">
      <c r="A155" s="35"/>
    </row>
    <row r="156">
      <c r="A156" s="35"/>
    </row>
    <row r="157">
      <c r="A157" s="35"/>
    </row>
    <row r="158">
      <c r="A158" s="35"/>
    </row>
    <row r="159">
      <c r="A159" s="35"/>
    </row>
  </sheetData>
  <hyperlinks>
    <hyperlink r:id="rId1" ref="A1"/>
    <hyperlink r:id="rId2" ref="B1"/>
    <hyperlink r:id="rId3" ref="C1"/>
    <hyperlink r:id="rId4" ref="D1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3">
        <v>73.46</v>
      </c>
      <c r="C1" s="3" t="s">
        <v>18</v>
      </c>
      <c r="D1" s="36">
        <v>45665.0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4" max="4" width="13.13"/>
    <col customWidth="1" min="6" max="6" width="13.75"/>
  </cols>
  <sheetData>
    <row r="1">
      <c r="A1" s="3" t="s">
        <v>19</v>
      </c>
      <c r="B1" s="3" t="s">
        <v>18</v>
      </c>
      <c r="D1" s="3" t="s">
        <v>20</v>
      </c>
      <c r="E1" s="3" t="s">
        <v>18</v>
      </c>
    </row>
    <row r="2">
      <c r="A2" s="3" t="s">
        <v>21</v>
      </c>
      <c r="C2" s="37">
        <v>45778.0</v>
      </c>
      <c r="D2" s="3"/>
      <c r="E2" s="3">
        <v>1000.0</v>
      </c>
      <c r="F2" s="37">
        <v>46051.0</v>
      </c>
      <c r="H2" s="38">
        <v>1.4</v>
      </c>
    </row>
    <row r="3">
      <c r="A3" s="3" t="s">
        <v>21</v>
      </c>
      <c r="C3" s="39"/>
      <c r="E3" s="3">
        <v>500.0</v>
      </c>
      <c r="F3" s="40">
        <v>46072.0</v>
      </c>
    </row>
    <row r="4">
      <c r="C4" s="9"/>
      <c r="D4" s="3">
        <v>8500.0</v>
      </c>
      <c r="E4" s="41">
        <f>D4*H2</f>
        <v>11900</v>
      </c>
      <c r="F4" s="40">
        <v>45986.0</v>
      </c>
    </row>
    <row r="5">
      <c r="C5" s="40"/>
      <c r="E5" s="3">
        <v>875.04</v>
      </c>
      <c r="F5" s="40">
        <v>45996.0</v>
      </c>
    </row>
    <row r="6">
      <c r="C6" s="40"/>
      <c r="E6" s="3">
        <v>16000.0</v>
      </c>
      <c r="F6" s="40">
        <v>46079.0</v>
      </c>
    </row>
    <row r="7">
      <c r="C7" s="40"/>
    </row>
    <row r="8">
      <c r="C8" s="40"/>
    </row>
    <row r="13">
      <c r="A13" s="3" t="s">
        <v>22</v>
      </c>
      <c r="B13" s="10">
        <f>SUM(B2:B12)</f>
        <v>0</v>
      </c>
      <c r="D13" s="3" t="s">
        <v>23</v>
      </c>
      <c r="E13" s="10">
        <f>SUM(E2:E12)</f>
        <v>30275.04</v>
      </c>
    </row>
    <row r="14">
      <c r="A14" s="3" t="s">
        <v>24</v>
      </c>
      <c r="B14" s="42">
        <f>31571-B13</f>
        <v>31571</v>
      </c>
      <c r="E14" s="42">
        <f>31560-E13</f>
        <v>1284.96</v>
      </c>
    </row>
    <row r="18">
      <c r="A18" s="3" t="s">
        <v>25</v>
      </c>
      <c r="B18" s="43">
        <v>2500.0</v>
      </c>
      <c r="C18" s="40">
        <v>45996.0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</cols>
  <sheetData>
    <row r="1">
      <c r="A1" s="44" t="s">
        <v>26</v>
      </c>
      <c r="B1" s="44" t="s">
        <v>27</v>
      </c>
      <c r="C1" s="44" t="s">
        <v>28</v>
      </c>
      <c r="D1" s="44" t="s">
        <v>29</v>
      </c>
      <c r="E1" s="3" t="s">
        <v>30</v>
      </c>
    </row>
    <row r="2">
      <c r="E2" s="3">
        <v>1.36</v>
      </c>
    </row>
    <row r="4">
      <c r="C4" s="1"/>
    </row>
    <row r="10">
      <c r="C10" s="45"/>
    </row>
    <row r="11">
      <c r="C11" s="46"/>
    </row>
    <row r="12">
      <c r="C12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41.25"/>
    <col customWidth="1" min="5" max="5" width="17.75"/>
    <col customWidth="1" min="6" max="6" width="18.13"/>
    <col customWidth="1" min="7" max="7" width="11.75"/>
  </cols>
  <sheetData>
    <row r="1">
      <c r="A1" s="3" t="s">
        <v>31</v>
      </c>
    </row>
    <row r="2">
      <c r="A2" s="47" t="s">
        <v>32</v>
      </c>
      <c r="B2" s="47" t="s">
        <v>33</v>
      </c>
      <c r="C2" s="48" t="s">
        <v>34</v>
      </c>
      <c r="E2" s="3" t="s">
        <v>30</v>
      </c>
      <c r="F2" s="3">
        <v>1.36</v>
      </c>
    </row>
    <row r="3">
      <c r="A3" s="49" t="s">
        <v>35</v>
      </c>
      <c r="B3" s="49" t="s">
        <v>36</v>
      </c>
      <c r="C3" s="50">
        <v>3.98</v>
      </c>
    </row>
    <row r="4">
      <c r="A4" s="49"/>
      <c r="B4" s="49"/>
      <c r="C4" s="50"/>
    </row>
    <row r="5">
      <c r="A5" s="49"/>
      <c r="B5" s="49"/>
      <c r="C5" s="50"/>
    </row>
    <row r="6">
      <c r="A6" s="49"/>
      <c r="B6" s="49"/>
      <c r="C6" s="50"/>
      <c r="E6" s="3" t="s">
        <v>2</v>
      </c>
      <c r="F6" s="41">
        <f>C15+C31+G31*F2</f>
        <v>30.2052</v>
      </c>
    </row>
    <row r="7">
      <c r="A7" s="49"/>
      <c r="B7" s="49"/>
      <c r="C7" s="50"/>
    </row>
    <row r="8">
      <c r="A8" s="49"/>
      <c r="B8" s="49"/>
      <c r="C8" s="50"/>
    </row>
    <row r="9">
      <c r="A9" s="49"/>
      <c r="B9" s="49"/>
      <c r="C9" s="50"/>
    </row>
    <row r="10">
      <c r="A10" s="49"/>
      <c r="B10" s="49"/>
      <c r="C10" s="50"/>
      <c r="G10" s="51"/>
    </row>
    <row r="11">
      <c r="A11" s="49"/>
      <c r="B11" s="49"/>
      <c r="C11" s="50"/>
    </row>
    <row r="12">
      <c r="A12" s="49"/>
      <c r="B12" s="49"/>
      <c r="C12" s="50"/>
    </row>
    <row r="13">
      <c r="A13" s="49"/>
      <c r="B13" s="49"/>
      <c r="C13" s="50"/>
    </row>
    <row r="14">
      <c r="A14" s="49"/>
      <c r="B14" s="49"/>
      <c r="C14" s="50"/>
    </row>
    <row r="15">
      <c r="C15" s="2">
        <f>sum(C3:C14)</f>
        <v>3.98</v>
      </c>
    </row>
    <row r="17">
      <c r="A17" s="3" t="s">
        <v>37</v>
      </c>
      <c r="B17" s="3" t="s">
        <v>38</v>
      </c>
      <c r="E17" s="3" t="s">
        <v>37</v>
      </c>
      <c r="F17" s="3" t="s">
        <v>39</v>
      </c>
    </row>
    <row r="18">
      <c r="A18" s="47" t="s">
        <v>32</v>
      </c>
      <c r="B18" s="47" t="s">
        <v>33</v>
      </c>
      <c r="C18" s="48" t="s">
        <v>34</v>
      </c>
      <c r="E18" s="47" t="s">
        <v>32</v>
      </c>
      <c r="F18" s="47" t="s">
        <v>33</v>
      </c>
      <c r="G18" s="52" t="s">
        <v>40</v>
      </c>
    </row>
    <row r="19">
      <c r="A19" s="49" t="s">
        <v>35</v>
      </c>
      <c r="B19" s="49" t="s">
        <v>36</v>
      </c>
      <c r="C19" s="50">
        <v>17.63</v>
      </c>
      <c r="E19" s="49" t="s">
        <v>35</v>
      </c>
      <c r="F19" s="49" t="s">
        <v>36</v>
      </c>
      <c r="G19" s="50">
        <v>6.32</v>
      </c>
    </row>
    <row r="20">
      <c r="A20" s="49"/>
      <c r="B20" s="49"/>
      <c r="C20" s="50"/>
      <c r="E20" s="49"/>
      <c r="F20" s="49"/>
      <c r="G20" s="50"/>
    </row>
    <row r="21">
      <c r="A21" s="49"/>
      <c r="B21" s="49"/>
      <c r="C21" s="50"/>
      <c r="E21" s="49"/>
      <c r="F21" s="49"/>
      <c r="G21" s="50"/>
    </row>
    <row r="22">
      <c r="A22" s="49"/>
      <c r="B22" s="49"/>
      <c r="C22" s="50"/>
      <c r="E22" s="49"/>
      <c r="F22" s="49"/>
      <c r="G22" s="50"/>
    </row>
    <row r="23">
      <c r="A23" s="49"/>
      <c r="B23" s="49"/>
      <c r="C23" s="50"/>
      <c r="E23" s="49"/>
      <c r="F23" s="49"/>
      <c r="G23" s="50"/>
    </row>
    <row r="24">
      <c r="A24" s="49"/>
      <c r="B24" s="49"/>
      <c r="C24" s="50"/>
      <c r="E24" s="49"/>
      <c r="F24" s="49"/>
      <c r="G24" s="50"/>
    </row>
    <row r="25">
      <c r="A25" s="49"/>
      <c r="B25" s="49"/>
      <c r="C25" s="50"/>
      <c r="E25" s="49"/>
      <c r="F25" s="49"/>
      <c r="G25" s="50"/>
    </row>
    <row r="26">
      <c r="A26" s="49"/>
      <c r="B26" s="49"/>
      <c r="C26" s="50"/>
      <c r="E26" s="49"/>
      <c r="F26" s="49"/>
      <c r="G26" s="50"/>
    </row>
    <row r="27">
      <c r="A27" s="49"/>
      <c r="B27" s="49"/>
      <c r="C27" s="50"/>
      <c r="E27" s="49"/>
      <c r="F27" s="49"/>
      <c r="G27" s="50"/>
    </row>
    <row r="28">
      <c r="A28" s="49"/>
      <c r="B28" s="49"/>
      <c r="C28" s="50"/>
      <c r="E28" s="49"/>
      <c r="F28" s="49"/>
      <c r="G28" s="50"/>
    </row>
    <row r="29">
      <c r="A29" s="49"/>
      <c r="B29" s="49"/>
      <c r="C29" s="50"/>
      <c r="E29" s="49"/>
      <c r="F29" s="49"/>
      <c r="G29" s="50"/>
    </row>
    <row r="30">
      <c r="A30" s="49"/>
      <c r="B30" s="49"/>
      <c r="C30" s="50"/>
      <c r="E30" s="49"/>
      <c r="F30" s="49"/>
      <c r="G30" s="50"/>
    </row>
    <row r="31">
      <c r="C31" s="2">
        <f>SUM(C19:C30)</f>
        <v>17.63</v>
      </c>
      <c r="G31" s="2">
        <f>SUM(G19:G30)</f>
        <v>6.32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</cols>
  <sheetData>
    <row r="1">
      <c r="A1" s="53" t="s">
        <v>41</v>
      </c>
      <c r="B1" s="53" t="s">
        <v>42</v>
      </c>
      <c r="C1" s="53" t="s">
        <v>43</v>
      </c>
      <c r="D1" s="53" t="s">
        <v>44</v>
      </c>
      <c r="E1" s="53" t="s">
        <v>45</v>
      </c>
      <c r="F1" s="54" t="s">
        <v>46</v>
      </c>
      <c r="G1" s="55"/>
    </row>
    <row r="2">
      <c r="A2" s="56">
        <v>1.63268675E8</v>
      </c>
      <c r="B2" s="57" t="s">
        <v>47</v>
      </c>
      <c r="C2" s="58" t="s">
        <v>48</v>
      </c>
      <c r="D2" s="59" t="s">
        <v>49</v>
      </c>
      <c r="E2" s="60">
        <v>45301.0</v>
      </c>
      <c r="F2" s="61">
        <v>12.88</v>
      </c>
      <c r="G2" s="62" t="s">
        <v>50</v>
      </c>
    </row>
    <row r="3">
      <c r="A3" s="56">
        <v>1.70399893E8</v>
      </c>
      <c r="B3" s="57" t="s">
        <v>47</v>
      </c>
      <c r="C3" s="58" t="s">
        <v>48</v>
      </c>
      <c r="D3" s="59" t="s">
        <v>51</v>
      </c>
      <c r="E3" s="60">
        <v>45384.0</v>
      </c>
      <c r="F3" s="61">
        <v>38.64</v>
      </c>
      <c r="G3" s="62" t="s">
        <v>52</v>
      </c>
    </row>
    <row r="4">
      <c r="A4" s="56">
        <v>1.74642626E8</v>
      </c>
      <c r="B4" s="57" t="s">
        <v>47</v>
      </c>
      <c r="C4" s="58" t="s">
        <v>48</v>
      </c>
      <c r="D4" s="59" t="s">
        <v>49</v>
      </c>
      <c r="E4" s="60">
        <v>45432.0</v>
      </c>
      <c r="F4" s="61">
        <v>25.76</v>
      </c>
      <c r="G4" s="62" t="s">
        <v>53</v>
      </c>
    </row>
    <row r="5">
      <c r="A5" s="56">
        <v>1.74787158E8</v>
      </c>
      <c r="B5" s="57" t="s">
        <v>47</v>
      </c>
      <c r="C5" s="58" t="s">
        <v>48</v>
      </c>
      <c r="D5" s="59" t="s">
        <v>49</v>
      </c>
      <c r="E5" s="60">
        <v>45434.0</v>
      </c>
      <c r="F5" s="61">
        <v>2.18</v>
      </c>
      <c r="G5" s="62" t="s">
        <v>54</v>
      </c>
    </row>
    <row r="6">
      <c r="A6" s="56">
        <v>1.77015451E8</v>
      </c>
      <c r="B6" s="57" t="s">
        <v>47</v>
      </c>
      <c r="C6" s="58" t="s">
        <v>48</v>
      </c>
      <c r="D6" s="59" t="s">
        <v>49</v>
      </c>
      <c r="E6" s="60">
        <v>45460.0</v>
      </c>
      <c r="F6" s="61">
        <v>39.18</v>
      </c>
      <c r="G6" s="62" t="s">
        <v>55</v>
      </c>
    </row>
    <row r="7">
      <c r="A7" s="56">
        <v>1.79865551E8</v>
      </c>
      <c r="B7" s="57" t="s">
        <v>47</v>
      </c>
      <c r="C7" s="58" t="s">
        <v>48</v>
      </c>
      <c r="D7" s="59" t="s">
        <v>49</v>
      </c>
      <c r="E7" s="60">
        <v>45494.0</v>
      </c>
      <c r="F7" s="61">
        <v>25.76</v>
      </c>
      <c r="G7" s="62" t="s">
        <v>56</v>
      </c>
    </row>
    <row r="8">
      <c r="A8" s="56">
        <v>1.82892372E8</v>
      </c>
      <c r="B8" s="57" t="s">
        <v>47</v>
      </c>
      <c r="C8" s="58" t="s">
        <v>48</v>
      </c>
      <c r="D8" s="59" t="s">
        <v>49</v>
      </c>
      <c r="E8" s="60">
        <v>45530.0</v>
      </c>
      <c r="F8" s="61">
        <v>12.88</v>
      </c>
      <c r="G8" s="62" t="s">
        <v>57</v>
      </c>
    </row>
    <row r="9">
      <c r="A9" s="56">
        <v>1.87540125E8</v>
      </c>
      <c r="B9" s="57" t="s">
        <v>47</v>
      </c>
      <c r="C9" s="58" t="s">
        <v>48</v>
      </c>
      <c r="D9" s="59" t="s">
        <v>49</v>
      </c>
      <c r="E9" s="60">
        <v>45582.0</v>
      </c>
      <c r="F9" s="61">
        <v>13.68</v>
      </c>
      <c r="G9" s="62" t="s">
        <v>58</v>
      </c>
    </row>
    <row r="10">
      <c r="A10" s="56">
        <v>1.88996056E8</v>
      </c>
      <c r="B10" s="57" t="s">
        <v>47</v>
      </c>
      <c r="C10" s="58" t="s">
        <v>48</v>
      </c>
      <c r="D10" s="59" t="s">
        <v>49</v>
      </c>
      <c r="E10" s="60">
        <v>45598.0</v>
      </c>
      <c r="F10" s="61">
        <v>83.9</v>
      </c>
      <c r="G10" s="62" t="s">
        <v>59</v>
      </c>
    </row>
    <row r="11">
      <c r="A11" s="63">
        <v>1.92338449E8</v>
      </c>
      <c r="B11" s="64" t="s">
        <v>47</v>
      </c>
      <c r="C11" s="65" t="s">
        <v>48</v>
      </c>
      <c r="D11" s="66" t="s">
        <v>49</v>
      </c>
      <c r="E11" s="67">
        <v>45636.0</v>
      </c>
      <c r="F11" s="68">
        <v>25.16</v>
      </c>
      <c r="G11" s="69" t="s">
        <v>60</v>
      </c>
    </row>
    <row r="12">
      <c r="A12" s="70"/>
      <c r="F12" s="71">
        <f>SUM(F2:F11)</f>
        <v>280.02</v>
      </c>
    </row>
    <row r="19">
      <c r="A19" s="3" t="s">
        <v>61</v>
      </c>
      <c r="G19" s="72">
        <f>F12+A26</f>
        <v>1042.57</v>
      </c>
    </row>
    <row r="20">
      <c r="A20" s="73" t="s">
        <v>62</v>
      </c>
    </row>
    <row r="21">
      <c r="A21" s="73" t="s">
        <v>63</v>
      </c>
    </row>
    <row r="22">
      <c r="A22" s="73" t="s">
        <v>64</v>
      </c>
    </row>
    <row r="23">
      <c r="A23" s="74" t="s">
        <v>65</v>
      </c>
    </row>
    <row r="26">
      <c r="A26" s="1">
        <v>762.55</v>
      </c>
      <c r="B26" s="3" t="s">
        <v>18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A23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66</v>
      </c>
      <c r="B1" s="3">
        <v>25.52</v>
      </c>
      <c r="C1" s="75"/>
      <c r="D1" s="75"/>
    </row>
    <row r="2">
      <c r="A2" s="3" t="s">
        <v>67</v>
      </c>
      <c r="B2" s="3">
        <v>26.19</v>
      </c>
      <c r="C2" s="76"/>
      <c r="D2" s="76"/>
    </row>
    <row r="3">
      <c r="A3" s="3" t="s">
        <v>68</v>
      </c>
      <c r="B3" s="3">
        <v>27.04</v>
      </c>
      <c r="C3" s="77"/>
      <c r="D3" s="77"/>
    </row>
    <row r="4">
      <c r="A4" s="3" t="s">
        <v>69</v>
      </c>
      <c r="B4" s="3">
        <v>26.53</v>
      </c>
      <c r="C4" s="78"/>
      <c r="D4" s="78"/>
    </row>
    <row r="5">
      <c r="A5" s="3" t="s">
        <v>70</v>
      </c>
      <c r="B5" s="3">
        <v>26.36</v>
      </c>
      <c r="C5" s="77"/>
      <c r="D5" s="77"/>
    </row>
    <row r="6">
      <c r="A6" s="3" t="s">
        <v>71</v>
      </c>
      <c r="B6" s="3">
        <v>30.51</v>
      </c>
      <c r="C6" s="78"/>
      <c r="D6" s="78"/>
    </row>
    <row r="7">
      <c r="A7" s="3" t="s">
        <v>72</v>
      </c>
      <c r="B7" s="3">
        <v>31.36</v>
      </c>
      <c r="C7" s="77"/>
      <c r="D7" s="77"/>
    </row>
    <row r="8">
      <c r="A8" s="3" t="s">
        <v>73</v>
      </c>
      <c r="B8" s="3">
        <v>30.51</v>
      </c>
      <c r="C8" s="78"/>
      <c r="D8" s="78"/>
    </row>
    <row r="9">
      <c r="A9" s="3" t="s">
        <v>74</v>
      </c>
      <c r="B9" s="3">
        <v>36.27</v>
      </c>
      <c r="C9" s="77"/>
      <c r="D9" s="77"/>
    </row>
    <row r="10">
      <c r="A10" s="3" t="s">
        <v>75</v>
      </c>
      <c r="B10" s="3">
        <v>39.66</v>
      </c>
      <c r="C10" s="78"/>
      <c r="D10" s="78"/>
    </row>
    <row r="11">
      <c r="A11" s="3" t="s">
        <v>76</v>
      </c>
      <c r="B11" s="3">
        <v>36.78</v>
      </c>
      <c r="C11" s="77"/>
      <c r="D11" s="77"/>
    </row>
    <row r="12">
      <c r="A12" s="3" t="s">
        <v>77</v>
      </c>
      <c r="B12" s="3">
        <v>28.76</v>
      </c>
      <c r="C12" s="78"/>
      <c r="D12" s="78"/>
    </row>
    <row r="13">
      <c r="B13" s="79">
        <f>SUM(B1:B12)</f>
        <v>365.49</v>
      </c>
      <c r="C13" s="77"/>
      <c r="D13" s="77"/>
    </row>
    <row r="14">
      <c r="C14" s="78"/>
      <c r="D14" s="78"/>
    </row>
    <row r="15">
      <c r="C15" s="77"/>
      <c r="D15" s="77"/>
    </row>
    <row r="16">
      <c r="C16" s="78"/>
      <c r="D16" s="78"/>
    </row>
    <row r="17">
      <c r="C17" s="77"/>
      <c r="D17" s="77"/>
    </row>
    <row r="18">
      <c r="C18" s="78"/>
      <c r="D18" s="78"/>
    </row>
    <row r="19">
      <c r="C19" s="77"/>
      <c r="D19" s="77"/>
    </row>
    <row r="20">
      <c r="C20" s="78"/>
      <c r="D20" s="78"/>
    </row>
    <row r="21">
      <c r="C21" s="77"/>
      <c r="D21" s="77"/>
    </row>
    <row r="22">
      <c r="C22" s="78"/>
      <c r="D22" s="78"/>
    </row>
    <row r="23">
      <c r="C23" s="77"/>
      <c r="D23" s="77"/>
    </row>
    <row r="24">
      <c r="C24" s="78"/>
      <c r="D24" s="78"/>
    </row>
    <row r="25">
      <c r="C25" s="77"/>
      <c r="D25" s="77"/>
    </row>
    <row r="26">
      <c r="C26" s="78"/>
      <c r="D26" s="78"/>
    </row>
    <row r="27">
      <c r="C27" s="77"/>
      <c r="D27" s="77"/>
    </row>
    <row r="28">
      <c r="C28" s="78"/>
      <c r="D28" s="78"/>
    </row>
    <row r="29">
      <c r="C29" s="77"/>
      <c r="D29" s="77"/>
    </row>
    <row r="30">
      <c r="C30" s="78"/>
      <c r="D30" s="78"/>
    </row>
    <row r="31">
      <c r="C31" s="77"/>
      <c r="D31" s="77"/>
    </row>
    <row r="32">
      <c r="C32" s="78"/>
      <c r="D32" s="78"/>
    </row>
    <row r="33">
      <c r="C33" s="77"/>
      <c r="D33" s="77"/>
    </row>
    <row r="34">
      <c r="C34" s="80"/>
      <c r="D34" s="8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66</v>
      </c>
      <c r="B1" s="3">
        <v>56.5</v>
      </c>
    </row>
    <row r="2">
      <c r="A2" s="3" t="s">
        <v>67</v>
      </c>
      <c r="B2" s="3">
        <v>56.5</v>
      </c>
    </row>
    <row r="3">
      <c r="A3" s="3" t="s">
        <v>68</v>
      </c>
      <c r="B3" s="3">
        <v>56.5</v>
      </c>
    </row>
    <row r="4">
      <c r="A4" s="3" t="s">
        <v>69</v>
      </c>
      <c r="B4" s="3">
        <v>56.5</v>
      </c>
    </row>
    <row r="5">
      <c r="A5" s="3" t="s">
        <v>70</v>
      </c>
      <c r="B5" s="3">
        <v>56.5</v>
      </c>
    </row>
    <row r="6">
      <c r="A6" s="3" t="s">
        <v>71</v>
      </c>
      <c r="B6" s="3">
        <v>56.5</v>
      </c>
    </row>
    <row r="7">
      <c r="A7" s="3" t="s">
        <v>72</v>
      </c>
      <c r="B7" s="3">
        <v>62.15</v>
      </c>
    </row>
    <row r="8">
      <c r="A8" s="3" t="s">
        <v>73</v>
      </c>
      <c r="B8" s="3">
        <v>45.77</v>
      </c>
    </row>
    <row r="9">
      <c r="A9" s="3" t="s">
        <v>74</v>
      </c>
    </row>
    <row r="10">
      <c r="A10" s="3" t="s">
        <v>75</v>
      </c>
    </row>
    <row r="11">
      <c r="A11" s="3" t="s">
        <v>76</v>
      </c>
    </row>
    <row r="12">
      <c r="A12" s="3" t="s">
        <v>77</v>
      </c>
    </row>
    <row r="13">
      <c r="B13" s="79">
        <f>SUM(B1:B12)</f>
        <v>446.92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78</v>
      </c>
      <c r="B1" s="81" t="s">
        <v>79</v>
      </c>
    </row>
    <row r="2">
      <c r="A2" s="3" t="s">
        <v>80</v>
      </c>
      <c r="B2" s="81">
        <v>100.0</v>
      </c>
    </row>
  </sheetData>
  <drawing r:id="rId1"/>
</worksheet>
</file>